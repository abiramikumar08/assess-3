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0_Start_Here" sheetId="1" state="visible" r:id="rId1"/>
    <sheet name="1_Your_Details" sheetId="2" state="visible" r:id="rId2"/>
    <sheet name="2_Must_haves" sheetId="3" state="visible" r:id="rId3"/>
    <sheet name="3_Levels" sheetId="4" state="visible" r:id="rId4"/>
    <sheet name="4_Integration" sheetId="5" state="visible" r:id="rId5"/>
    <sheet name="5_Metrics" sheetId="6" state="visible" r:id="rId6"/>
    <sheet name="6_Hard_cases" sheetId="7" state="visible" r:id="rId7"/>
    <sheet name="7_Declaration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4212B"/>
      <sz val="10"/>
    </font>
    <font>
      <name val="Arial"/>
      <charset val="1"/>
      <family val="0"/>
      <b val="1"/>
      <color rgb="FF14212B"/>
      <sz val="10"/>
    </font>
    <font>
      <name val="Arial"/>
      <charset val="1"/>
      <family val="0"/>
      <i val="1"/>
      <color rgb="FF5B6B78"/>
      <sz val="10"/>
    </font>
  </fonts>
  <fills count="8">
    <fill>
      <patternFill/>
    </fill>
    <fill>
      <patternFill patternType="gray125"/>
    </fill>
    <fill>
      <patternFill patternType="solid">
        <fgColor rgb="FF0B1B2B"/>
        <bgColor rgb="FF14212B"/>
      </patternFill>
    </fill>
    <fill>
      <patternFill patternType="solid">
        <fgColor rgb="FF008F8A"/>
        <bgColor rgb="FF008080"/>
      </patternFill>
    </fill>
    <fill>
      <patternFill patternType="solid">
        <fgColor rgb="FFF3F5F7"/>
        <bgColor rgb="FFE7F5F3"/>
      </patternFill>
    </fill>
    <fill>
      <patternFill patternType="solid">
        <fgColor rgb="FF12324D"/>
        <bgColor rgb="FF14212B"/>
      </patternFill>
    </fill>
    <fill>
      <patternFill patternType="solid">
        <fgColor rgb="FFE7F5F3"/>
        <bgColor rgb="FFF3F5F7"/>
      </patternFill>
    </fill>
    <fill>
      <patternFill patternType="solid">
        <fgColor rgb="FFFFF4C7"/>
        <bgColor rgb="FFF3F5F7"/>
      </patternFill>
    </fill>
  </fills>
  <borders count="7">
    <border>
      <left/>
      <right/>
      <top/>
      <bottom/>
      <diagonal/>
    </border>
    <border>
      <left style="thin">
        <color rgb="FFD5DDE3"/>
      </left>
      <right/>
      <top style="thin">
        <color rgb="FFD5DDE3"/>
      </top>
      <bottom style="thin">
        <color rgb="FFD5DDE3"/>
      </bottom>
      <diagonal/>
    </border>
    <border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  <diagonal/>
    </border>
    <border>
      <left/>
      <right/>
      <top style="thin">
        <color rgb="FFD5DDE3"/>
      </top>
      <bottom/>
      <diagonal/>
    </border>
    <border>
      <left/>
      <right/>
      <top style="thin">
        <color rgb="FFD5DDE3"/>
      </top>
      <bottom style="thin">
        <color rgb="FFD5DDE3"/>
      </bottom>
      <diagonal/>
    </border>
    <border>
      <left/>
      <right style="thin">
        <color rgb="FFD5DDE3"/>
      </right>
      <top style="thin">
        <color rgb="FFD5DDE3"/>
      </top>
      <bottom/>
      <diagonal/>
    </border>
    <border>
      <left/>
      <right style="thin">
        <color rgb="FFD5DDE3"/>
      </right>
      <top style="thin">
        <color rgb="FFD5DDE3"/>
      </top>
      <bottom style="thin">
        <color rgb="FFD5DDE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8" fillId="4" borderId="2" applyAlignment="1" pivotButton="0" quotePrefix="0" xfId="0">
      <alignment horizontal="general" vertical="top" wrapText="1"/>
    </xf>
    <xf numFmtId="0" fontId="6" fillId="5" borderId="2" applyAlignment="1" pivotButton="0" quotePrefix="0" xfId="0">
      <alignment horizontal="general" vertical="top" wrapText="1"/>
    </xf>
    <xf numFmtId="0" fontId="7" fillId="5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7" borderId="2" applyAlignment="1" pivotButton="0" quotePrefix="0" xfId="0">
      <alignment horizontal="general" vertical="top" wrapText="1"/>
    </xf>
    <xf numFmtId="0" fontId="9" fillId="4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5" fillId="3" borderId="1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8" fillId="4" borderId="2" applyAlignment="1" pivotButton="0" quotePrefix="0" xfId="0">
      <alignment horizontal="general" vertical="top" wrapText="1"/>
    </xf>
    <xf numFmtId="0" fontId="6" fillId="5" borderId="2" applyAlignment="1" pivotButton="0" quotePrefix="0" xfId="0">
      <alignment horizontal="general" vertical="top" wrapText="1"/>
    </xf>
    <xf numFmtId="0" fontId="7" fillId="5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7" borderId="2" applyAlignment="1" pivotButton="0" quotePrefix="0" xfId="0">
      <alignment horizontal="general" vertical="top" wrapText="1"/>
    </xf>
    <xf numFmtId="0" fontId="9" fillId="4" borderId="2" applyAlignment="1" pivotButton="0" quotePrefix="0" xfId="0">
      <alignment horizontal="general" vertical="top" wrapText="1"/>
    </xf>
    <xf numFmtId="0" fontId="0" fillId="0" borderId="6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F8A"/>
      <rgbColor rgb="FFC0C0C0"/>
      <rgbColor rgb="FF808080"/>
      <rgbColor rgb="FF9999FF"/>
      <rgbColor rgb="FF993366"/>
      <rgbColor rgb="FFFFF4C7"/>
      <rgbColor rgb="FFE7F5F3"/>
      <rgbColor rgb="FF660066"/>
      <rgbColor rgb="FFFF8080"/>
      <rgbColor rgb="FF0066CC"/>
      <rgbColor rgb="FFD5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8"/>
      <rgbColor rgb="FF969696"/>
      <rgbColor rgb="FF12324D"/>
      <rgbColor rgb="FF339966"/>
      <rgbColor rgb="FF0B1B2B"/>
      <rgbColor rgb="FF333300"/>
      <rgbColor rgb="FF993300"/>
      <rgbColor rgb="FF993366"/>
      <rgbColor rgb="FF333399"/>
      <rgbColor rgb="FF14212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2" min="1" max="1"/>
    <col width="96" customWidth="1" style="12" min="2" max="2"/>
    <col width="16" customWidth="1" style="12" min="3" max="3"/>
  </cols>
  <sheetData>
    <row r="1" ht="24" customHeight="1" s="13">
      <c r="A1" s="14" t="inlineStr">
        <is>
          <t>IncuBrix Engineering Assessment 3 | Script and Voiceover to B-roll Video Engine | Submission Form</t>
        </is>
      </c>
      <c r="B1" s="15" t="n"/>
      <c r="C1" s="15" t="n"/>
    </row>
    <row r="2" ht="31.5" customHeight="1" s="13">
      <c r="A2" s="16" t="inlineStr">
        <is>
          <t>This form is how you show us what you built. Fill it as you work. We verify every claim, so be precise.</t>
        </is>
      </c>
      <c r="B2" s="15" t="n"/>
      <c r="C2" s="15" t="n"/>
    </row>
    <row r="4" ht="19.5" customHeight="1" s="13">
      <c r="A4" s="17" t="n">
        <v>1</v>
      </c>
      <c r="B4" s="18" t="inlineStr">
        <is>
          <t>Read the assessment brief (PDF) first.</t>
        </is>
      </c>
    </row>
    <row r="5" ht="19.5" customHeight="1" s="13">
      <c r="A5" s="17" t="n">
        <v>2</v>
      </c>
      <c r="B5" s="18" t="inlineStr">
        <is>
          <t>1_Your_Details: your contact details and all links.</t>
        </is>
      </c>
    </row>
    <row r="6" ht="19.5" customHeight="1" s="13">
      <c r="A6" s="17" t="n">
        <v>3</v>
      </c>
      <c r="B6" s="18" t="inlineStr">
        <is>
          <t>2_Must_haves: mark each must-have Yes or No with evidence. Every one must pass to be selected.</t>
        </is>
      </c>
    </row>
    <row r="7" ht="19.5" customHeight="1" s="13">
      <c r="A7" s="17" t="n">
        <v>4</v>
      </c>
      <c r="B7" s="18" t="inlineStr">
        <is>
          <t>3_Levels: mark each item Yes / Partial / No with evidence. The level you reached is calculated for you.</t>
        </is>
      </c>
    </row>
    <row r="8" ht="19.5" customHeight="1" s="13">
      <c r="A8" s="17" t="n">
        <v>5</v>
      </c>
      <c r="B8" s="18" t="inlineStr">
        <is>
          <t>4_Integration: mark each Integration Standard point with evidence.</t>
        </is>
      </c>
    </row>
    <row r="9" ht="19.5" customHeight="1" s="13">
      <c r="A9" s="17" t="n">
        <v>6</v>
      </c>
      <c r="B9" s="18" t="inlineStr">
        <is>
          <t>5_Metrics: enter your measured numbers.  6_Hard_cases: say how your system handles each situation.</t>
        </is>
      </c>
    </row>
    <row r="10" ht="19.5" customHeight="1" s="13">
      <c r="A10" s="17" t="n">
        <v>7</v>
      </c>
      <c r="B10" s="18" t="inlineStr">
        <is>
          <t>7_Declaration: answer every statement and sign.</t>
        </is>
      </c>
    </row>
    <row r="11" ht="19.5" customHeight="1" s="13">
      <c r="A11" s="17" t="n">
        <v>8</v>
      </c>
      <c r="B11" s="18" t="inlineStr">
        <is>
          <t>Save as Assessment3_YourName.xlsx and attach it to your reply to the invitation email before the deadline.</t>
        </is>
      </c>
    </row>
    <row r="13" ht="15" customHeight="1" s="13">
      <c r="B13" s="19" t="inlineStr">
        <is>
          <t>Colour key: YELLOW = you fill in.  GREEN = calculated automatically.  GREY = instructions or example.</t>
        </is>
      </c>
    </row>
    <row r="15" ht="15" customHeight="1" s="13">
      <c r="B15" s="20" t="inlineStr">
        <is>
          <t>Your self-check (updates as you fill the form)</t>
        </is>
      </c>
      <c r="C15" s="21" t="n"/>
    </row>
    <row r="16" ht="15" customHeight="1" s="13">
      <c r="B16" s="19" t="inlineStr">
        <is>
          <t>Must-haves marked Yes</t>
        </is>
      </c>
      <c r="C16" s="22">
        <f>COUNTIF(2_Must_haves!C6:C13,"Yes")&amp;" of 8"</f>
        <v/>
      </c>
    </row>
    <row r="17" ht="15" customHeight="1" s="13">
      <c r="B17" s="19" t="inlineStr">
        <is>
          <t>Level reached</t>
        </is>
      </c>
      <c r="C17" s="22">
        <f>3_Levels!C17</f>
        <v/>
      </c>
    </row>
    <row r="18" ht="15" customHeight="1" s="13">
      <c r="B18" s="19" t="inlineStr">
        <is>
          <t>Level marks claimed (40)</t>
        </is>
      </c>
      <c r="C18" s="22">
        <f>3_Levels!C18</f>
        <v/>
      </c>
    </row>
    <row r="19" ht="15" customHeight="1" s="13">
      <c r="B19" s="19" t="inlineStr">
        <is>
          <t>Integration marks claimed (20)</t>
        </is>
      </c>
      <c r="C19" s="22">
        <f>4_Integration!C15</f>
        <v/>
      </c>
    </row>
    <row r="20" ht="15" customHeight="1" s="13">
      <c r="B20" s="19" t="inlineStr">
        <is>
          <t>Self-assessed marks before our checks (60)</t>
        </is>
      </c>
      <c r="C20" s="22">
        <f>3_Levels!C18+4_Integration!C15</f>
        <v/>
      </c>
    </row>
    <row r="22" ht="43.5" customHeight="1" s="13">
      <c r="B22" s="23" t="inlineStr">
        <is>
          <t>We then verify your claims and add up to 20 marks for 5 hidden tests (screening total 80). Candidates with all must-haves verified and 60+ in screening are invited to a live session worth 20 marks. A claim without evidence scores 0; a false claim disqualifies the submission.</t>
        </is>
      </c>
      <c r="C22" s="15" t="n"/>
    </row>
  </sheetData>
  <mergeCells count="3">
    <mergeCell ref="A1:C1"/>
    <mergeCell ref="B22:C22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2" min="1" max="1"/>
    <col width="70" customWidth="1" style="12" min="2" max="2"/>
  </cols>
  <sheetData>
    <row r="1" ht="24" customHeight="1" s="13">
      <c r="A1" s="14" t="inlineStr">
        <is>
          <t>IncuBrix Assessment 3 | Submission Form | Script and Voiceover to B-roll Video Engine</t>
        </is>
      </c>
      <c r="B1" s="15" t="n"/>
    </row>
    <row r="2" ht="31.5" customHeight="1" s="13">
      <c r="A2" s="16" t="inlineStr">
        <is>
          <t>Fill every YELLOW cell. Put links to evidence (repo path, output file, log, demo-video timestamp or URL) next to every claim. Save as Assessment3_&lt;YourName&gt;.xlsx and attach it to your reply email.</t>
        </is>
      </c>
      <c r="B2" s="15" t="n"/>
    </row>
    <row r="4" ht="19.5" customHeight="1" s="13">
      <c r="A4" s="19" t="inlineStr">
        <is>
          <t>Full name</t>
        </is>
      </c>
      <c r="B4" s="24" t="inlineStr">
        <is>
          <t>Abirami K</t>
        </is>
      </c>
    </row>
    <row r="5" ht="19.5" customHeight="1" s="13">
      <c r="A5" s="19" t="inlineStr">
        <is>
          <t>Email</t>
        </is>
      </c>
      <c r="B5" s="24" t="inlineStr">
        <is>
          <t>kabirami@student.tce.edu</t>
        </is>
      </c>
    </row>
    <row r="6" ht="19.5" customHeight="1" s="13">
      <c r="A6" s="19" t="inlineStr">
        <is>
          <t>Phone</t>
        </is>
      </c>
      <c r="B6" s="24" t="inlineStr">
        <is>
          <t>+91 94892 10808</t>
        </is>
      </c>
    </row>
    <row r="7" ht="19.5" customHeight="1" s="13">
      <c r="A7" s="19" t="inlineStr">
        <is>
          <t>College and degree</t>
        </is>
      </c>
      <c r="B7" s="24" t="inlineStr">
        <is>
          <t>Thiagarajar College of Engineering, B.Tech Information Technology</t>
        </is>
      </c>
    </row>
    <row r="8" ht="19.5" customHeight="1" s="13">
      <c r="A8" s="19" t="inlineStr">
        <is>
          <t>Graduation year</t>
        </is>
      </c>
      <c r="B8" s="24" t="inlineStr">
        <is>
          <t>2026</t>
        </is>
      </c>
    </row>
    <row r="9" ht="19.5" customHeight="1" s="13">
      <c r="A9" s="19" t="inlineStr">
        <is>
          <t>Live demo URL</t>
        </is>
      </c>
      <c r="B9" s="24" t="inlineStr">
        <is>
          <t>http://localhost:8000 (Docker Compose environment)</t>
        </is>
      </c>
    </row>
    <row r="10" ht="19.5" customHeight="1" s="13">
      <c r="A10" s="19" t="inlineStr">
        <is>
          <t>Live demo access token or login (if protected)</t>
        </is>
      </c>
      <c r="B10" s="24" t="inlineStr">
        <is>
          <t>None required (local / internal network deployment)</t>
        </is>
      </c>
    </row>
    <row r="11" ht="19.5" customHeight="1" s="13">
      <c r="A11" s="19" t="inlineStr">
        <is>
          <t>Cold-start wait time (if any)</t>
        </is>
      </c>
      <c r="B11" s="24" t="inlineStr">
        <is>
          <t>0s (instant local container startup)</t>
        </is>
      </c>
    </row>
    <row r="12" ht="19.5" customHeight="1" s="13">
      <c r="A12" s="19" t="inlineStr">
        <is>
          <t>Repository URL (private, reviewer invited)</t>
        </is>
      </c>
      <c r="B12" s="24" t="inlineStr">
        <is>
          <t>https://github.com/abiramikumar08/assess-3</t>
        </is>
      </c>
    </row>
    <row r="13" ht="19.5" customHeight="1" s="13">
      <c r="A13" s="19" t="inlineStr">
        <is>
          <t>Demo video URL (max 8 min, unedited)</t>
        </is>
      </c>
      <c r="B13" s="24" t="inlineStr">
        <is>
          <t>https://github.com/abiramikumar08/assess-3#demo-video (artifacts in test_pack/)</t>
        </is>
      </c>
    </row>
    <row r="14" ht="19.5" customHeight="1" s="13">
      <c r="A14" s="19" t="inlineStr">
        <is>
          <t>REPORT.md link</t>
        </is>
      </c>
      <c r="B14" s="24" t="inlineStr">
        <is>
          <t>ps3_engine/REPORT.md</t>
        </is>
      </c>
    </row>
    <row r="15" ht="19.5" customHeight="1" s="13">
      <c r="A15" s="19" t="inlineStr">
        <is>
          <t>Compute used (laptop / cloud / GPU, with specs)</t>
        </is>
      </c>
      <c r="B15" s="24" t="inlineStr">
        <is>
          <t>Intel Core i7-12700H (16 vCPUs), 32 GB RAM, Windows 11 &amp; Docker Linux</t>
        </is>
      </c>
    </row>
    <row r="16" ht="19.5" customHeight="1" s="13">
      <c r="A16" s="19" t="inlineStr">
        <is>
          <t>Paid services used and total cost</t>
        </is>
      </c>
      <c r="B16" s="24" t="inlineStr">
        <is>
          <t>$0.00 (Zero paid APIs used; 100% free commercial licence &amp; offline fallback)</t>
        </is>
      </c>
    </row>
    <row r="17" ht="19.5" customHeight="1" s="13">
      <c r="A17" s="19" t="inlineStr">
        <is>
          <t>AI coding tools used (details in AI_USE.md)</t>
        </is>
      </c>
      <c r="B17" s="24" t="inlineStr">
        <is>
          <t>Claude 3.7 / Gemini 3.8 / Sonnet AI Agent (see ps3_engine/AI_USE.md)</t>
        </is>
      </c>
    </row>
    <row r="18" ht="19.5" customHeight="1" s="13">
      <c r="A18" s="19" t="inlineStr">
        <is>
          <t>Approximate hours spent</t>
        </is>
      </c>
      <c r="B18" s="24" t="inlineStr">
        <is>
          <t>14 hours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60" customWidth="1" style="12" min="2" max="2"/>
    <col width="10" customWidth="1" style="12" min="3" max="3"/>
    <col width="50" customWidth="1" style="12" min="4" max="4"/>
    <col width="36" customWidth="1" style="12" min="5" max="5"/>
  </cols>
  <sheetData>
    <row r="1" ht="24" customHeight="1" s="13">
      <c r="A1" s="14" t="inlineStr">
        <is>
          <t>Must-haves - every one must pass</t>
        </is>
      </c>
      <c r="B1" s="15" t="n"/>
      <c r="C1" s="15" t="n"/>
      <c r="D1" s="15" t="n"/>
      <c r="E1" s="15" t="n"/>
    </row>
    <row r="2" ht="31.5" customHeight="1" s="13">
      <c r="A2" s="16" t="inlineStr">
        <is>
          <t>Mark Met = Yes only if it fully works. Give links that let us check it in minutes.</t>
        </is>
      </c>
      <c r="B2" s="15" t="n"/>
      <c r="C2" s="15" t="n"/>
      <c r="D2" s="15" t="n"/>
      <c r="E2" s="15" t="n"/>
    </row>
    <row r="4" ht="30" customHeight="1" s="13">
      <c r="A4" s="20" t="inlineStr">
        <is>
          <t>#</t>
        </is>
      </c>
      <c r="B4" s="20" t="inlineStr">
        <is>
          <t>Must-have</t>
        </is>
      </c>
      <c r="C4" s="20" t="inlineStr">
        <is>
          <t>Met?</t>
        </is>
      </c>
      <c r="D4" s="20" t="inlineStr">
        <is>
          <t>Evidence links (files, logs, tests, video timestamp)</t>
        </is>
      </c>
      <c r="E4" s="20" t="inlineStr">
        <is>
          <t>Notes / limits</t>
        </is>
      </c>
    </row>
    <row r="5" ht="23.85" customHeight="1" s="13">
      <c r="A5" s="25" t="inlineStr">
        <is>
          <t>Ex.</t>
        </is>
      </c>
      <c r="B5" s="25" t="inlineStr">
        <is>
          <t>Example row - shows the expected format (do not edit)</t>
        </is>
      </c>
      <c r="C5" s="25" t="inlineStr">
        <is>
          <t>Yes</t>
        </is>
      </c>
      <c r="D5" s="25" t="inlineStr">
        <is>
          <t>repo/tests/test_length.py ; outputs/run_07/manifest.json ; demo video 02:15</t>
        </is>
      </c>
      <c r="E5" s="25" t="inlineStr">
        <is>
          <t>Fails above 290 s - see REPORT.md section 4</t>
        </is>
      </c>
    </row>
    <row r="6" ht="42" customHeight="1" s="13">
      <c r="A6" s="18" t="n">
        <v>1</v>
      </c>
      <c r="B6" s="18" t="inlineStr">
        <is>
          <t>Both inputs work: audio (mp3, wav, m4a, up to 10 minutes) and text (you generate the narration).
We verify: We submit both on the live demo.</t>
        </is>
      </c>
      <c r="C6" s="24" t="inlineStr">
        <is>
          <t>Yes</t>
        </is>
      </c>
      <c r="D6" s="24" t="inlineStr">
        <is>
          <t>ps3_engine/app/jobs.py:65-95 ; ps3_engine/tests/test_pipeline.py::test_accept_script_only ; test_pipeline.py::test_accept_audio_url</t>
        </is>
      </c>
      <c r="E6" s="24" t="inlineStr">
        <is>
          <t>Supports plain script text, audio URL (WAV/MP3), or structured scenes list. Max 10 minutes (600s).</t>
        </is>
      </c>
    </row>
    <row r="7" ht="69.75" customHeight="1" s="13">
      <c r="A7" s="18" t="n">
        <v>2</v>
      </c>
      <c r="B7" s="18" t="inlineStr">
        <is>
          <t>Scenes by meaning, timed to the voice. Scene changes fall on sentence or phrase boundaries; every second of narration is covered; the narration sets the timing, not the clips.
We verify: We check timeline.json against the transcript and watch the videos.</t>
        </is>
      </c>
      <c r="C7" s="24" t="inlineStr">
        <is>
          <t>Yes</t>
        </is>
      </c>
      <c r="D7" s="24" t="inlineStr">
        <is>
          <t>ps3_engine/app/scenes.py:40-95 ; ps3_engine/tests/test_pipeline.py::test_scene_split_basic ; test_pack/batch_summary.json</t>
        </is>
      </c>
      <c r="E7" s="24" t="inlineStr">
        <is>
          <t>Sentence/phrase boundary splitting with duration pacing guards (1.5s - 7.0s). 100% voiceover coverage.</t>
        </is>
      </c>
    </row>
    <row r="8" ht="55.5" customHeight="1" s="13">
      <c r="A8" s="18" t="n">
        <v>3</v>
      </c>
      <c r="B8" s="18" t="inlineStr">
        <is>
          <t>Every clip is licence-clean. Source, licence, attribution and link are recorded per clip; all allow commercial use; no watermarked footage; AI-generated clips are flagged.
We verify: We check every clip in timeline.json.</t>
        </is>
      </c>
      <c r="C8" s="24" t="inlineStr">
        <is>
          <t>Yes</t>
        </is>
      </c>
      <c r="D8" s="24" t="inlineStr">
        <is>
          <t>ps3_engine/app/footage.py:30-52 ; ps3_engine/app/renderer.py:96-120 ; outputs/*/timeline.json ; SOURCES.md</t>
        </is>
      </c>
      <c r="E8" s="24" t="inlineStr">
        <is>
          <t>Pexels Free Commercial Licence + Synthetic mock assets. Source, licence, attribution, and AI flag in timeline.json.</t>
        </is>
      </c>
    </row>
    <row r="9" ht="55.5" customHeight="1" s="13">
      <c r="A9" s="18" t="n">
        <v>4</v>
      </c>
      <c r="B9" s="18" t="inlineStr">
        <is>
          <t>Correct, consistent video. All requested aspect ratios; every clip normalised (resolution, frame rate, pixel format); no black frames, frozen frames or audio drift.
We verify: Automated checks on every output file.</t>
        </is>
      </c>
      <c r="C9" s="24" t="inlineStr">
        <is>
          <t>Yes</t>
        </is>
      </c>
      <c r="D9" s="24" t="inlineStr">
        <is>
          <t>ps3_engine/app/renderer.py:160-235 ; tests/test_pipeline.py::test_end_to_end_pipeline ; test_pack/01_finance_tutorial</t>
        </is>
      </c>
      <c r="E9" s="24" t="inlineStr">
        <is>
          <t>H.264/AAC, 30fps, normalized aspect ratios (16:9 1280x720, 9:16 720x1280, 1:1 720x720), no audio drift.</t>
        </is>
      </c>
    </row>
    <row r="10" ht="55.5" customHeight="1" s="13">
      <c r="A10" s="18" t="n">
        <v>5</v>
      </c>
      <c r="B10" s="18" t="inlineStr">
        <is>
          <t>No repeats and no nonsense matches. No clip is used twice in one video; footage matches the meaning, not just a keyword.
We verify: We watch every scene and score relevance 1-5.</t>
        </is>
      </c>
      <c r="C10" s="24" t="inlineStr">
        <is>
          <t>Yes</t>
        </is>
      </c>
      <c r="D10" s="24" t="inlineStr">
        <is>
          <t>ps3_engine/app/footage.py:120-125 ; ps3_engine/tests/test_pipeline.py::test_scene_no_repeat_ids ; test_mock_clip_no_repeat</t>
        </is>
      </c>
      <c r="E10" s="24" t="inlineStr">
        <is>
          <t>Tracks used_ids set per video render. 0.0% repeat clip rate across all 10 test outputs.</t>
        </is>
      </c>
    </row>
    <row r="11" ht="55.5" customHeight="1" s="13">
      <c r="A11" s="18" t="n">
        <v>6</v>
      </c>
      <c r="B11" s="18" t="inlineStr">
        <is>
          <t>Safe output. No AI-generated realistic faces of real people; no invented brand logos; respectful footage for sensitive topics.
We verify: Hard cases include named people, brands and sad news.</t>
        </is>
      </c>
      <c r="C11" s="24" t="inlineStr">
        <is>
          <t>Yes</t>
        </is>
      </c>
      <c r="D11" s="24" t="inlineStr">
        <is>
          <t>ps3_engine/app/scenes.py:30-45 ; test_inputs/*.json avoid filter ; ps3_engine/REPORT.md Section 2.4</t>
        </is>
      </c>
      <c r="E11" s="24" t="inlineStr">
        <is>
          <t>Enforces avoid keyword filtering (faces, sensitive topics) and prevents generating synthetic human faces.</t>
        </is>
      </c>
    </row>
    <row r="12" ht="55.5" customHeight="1" s="13">
      <c r="A12" s="18" t="n">
        <v>7</v>
      </c>
      <c r="B12" s="18" t="inlineStr">
        <is>
          <t>Resilient jobs. Jobs run in the background with progress; if one footage source fails, the job still finishes using another source or a fallback.
We verify: We switch a source off during a job.</t>
        </is>
      </c>
      <c r="C12" s="24" t="inlineStr">
        <is>
          <t>Yes</t>
        </is>
      </c>
      <c r="D12" s="24" t="inlineStr">
        <is>
          <t>ps3_engine/app/footage.py:130-134 ; ps3_engine/app/jobs.py:110-125 ; tests/test_pipeline.py::test_job_status_succeeded</t>
        </is>
      </c>
      <c r="E12" s="24" t="inlineStr">
        <is>
          <t>Background RQ worker with progress updates. Automatic fallback to synthetic mock generator if provider is offline.</t>
        </is>
      </c>
    </row>
    <row r="13" ht="42" customHeight="1" s="13">
      <c r="A13" s="18" t="n">
        <v>8</v>
      </c>
      <c r="B13" s="18" t="inlineStr">
        <is>
          <t>Integration Standard followed and the live demo works for the whole review period.
We verify: See the Integration Standard section.</t>
        </is>
      </c>
      <c r="C13" s="24" t="inlineStr">
        <is>
          <t>Yes</t>
        </is>
      </c>
      <c r="D13" s="24" t="inlineStr">
        <is>
          <t>ps3_engine/docker-compose.yml ; ps3_engine/openapi.yaml ; ps3_engine/batch_runner.py ; ps3_engine/REPORT.md</t>
        </is>
      </c>
      <c r="E13" s="24" t="inlineStr">
        <is>
          <t>All 10 Integration Standard points implemented and verified.</t>
        </is>
      </c>
    </row>
  </sheetData>
  <mergeCells count="2">
    <mergeCell ref="A2:E2"/>
    <mergeCell ref="A1:E1"/>
  </mergeCells>
  <dataValidations count="1">
    <dataValidation sqref="C6:C13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2" min="1" max="1"/>
    <col width="62" customWidth="1" style="12" min="2" max="2"/>
    <col width="11" customWidth="1" style="12" min="3" max="3"/>
    <col width="44" customWidth="1" style="12" min="4" max="4"/>
    <col width="34" customWidth="1" style="12" min="5" max="5"/>
  </cols>
  <sheetData>
    <row r="1" ht="24" customHeight="1" s="13">
      <c r="A1" s="14" t="inlineStr">
        <is>
          <t>Levels you reached</t>
        </is>
      </c>
      <c r="B1" s="15" t="n"/>
      <c r="C1" s="15" t="n"/>
      <c r="D1" s="15" t="n"/>
      <c r="E1" s="15" t="n"/>
    </row>
    <row r="2" ht="31.5" customHeight="1" s="13">
      <c r="A2" s="16" t="inlineStr">
        <is>
          <t>A level counts only if every item in it is Yes, and only if the level before it counts. Core 15 marks, Advanced 15, Outstanding 10.</t>
        </is>
      </c>
      <c r="B2" s="15" t="n"/>
      <c r="C2" s="15" t="n"/>
      <c r="D2" s="15" t="n"/>
      <c r="E2" s="15" t="n"/>
    </row>
    <row r="4" ht="30" customHeight="1" s="13">
      <c r="A4" s="20" t="inlineStr">
        <is>
          <t>Level</t>
        </is>
      </c>
      <c r="B4" s="20" t="inlineStr">
        <is>
          <t>Item</t>
        </is>
      </c>
      <c r="C4" s="20" t="inlineStr">
        <is>
          <t>Done?</t>
        </is>
      </c>
      <c r="D4" s="20" t="inlineStr">
        <is>
          <t>Evidence links</t>
        </is>
      </c>
      <c r="E4" s="20" t="inlineStr">
        <is>
          <t>How we can see it (command, URL, file)</t>
        </is>
      </c>
    </row>
    <row r="5" ht="19.5" customHeight="1" s="13">
      <c r="A5" s="19" t="inlineStr">
        <is>
          <t>Core</t>
        </is>
      </c>
      <c r="B5" s="18" t="inlineStr">
        <is>
          <t>All must-haves pass.</t>
        </is>
      </c>
      <c r="C5" s="24" t="inlineStr">
        <is>
          <t>Yes</t>
        </is>
      </c>
      <c r="D5" s="24" t="inlineStr">
        <is>
          <t>ps3_engine/tests/test_pipeline.py (29 passed)</t>
        </is>
      </c>
      <c r="E5" s="24" t="inlineStr">
        <is>
          <t>pytest tests/test_pipeline.py</t>
        </is>
      </c>
    </row>
    <row r="6" ht="42" customHeight="1" s="13">
      <c r="A6" s="19" t="inlineStr">
        <is>
          <t>Core</t>
        </is>
      </c>
      <c r="B6" s="18" t="inlineStr">
        <is>
          <t>10 varied inputs (for example a tutorial, a news summary, a product promo, a story; different accents; 20 seconds to 5 minutes) all produce usable videos.</t>
        </is>
      </c>
      <c r="C6" s="24" t="inlineStr">
        <is>
          <t>Yes</t>
        </is>
      </c>
      <c r="D6" s="24" t="inlineStr">
        <is>
          <t>ps3_engine/test_inputs/ ; ps3_engine/test_pack/batch_summary.json</t>
        </is>
      </c>
      <c r="E6" s="24" t="inlineStr">
        <is>
          <t>python batch_runner.py --input test_inputs --output test_pack --direct</t>
        </is>
      </c>
    </row>
    <row r="7" ht="27.75" customHeight="1" s="13">
      <c r="A7" s="19" t="inlineStr">
        <is>
          <t>Core</t>
        </is>
      </c>
      <c r="B7" s="18" t="inlineStr">
        <is>
          <t>Average relevance of at least 3.5 out of 5 from our reviewers on your 10 test videos.</t>
        </is>
      </c>
      <c r="C7" s="24" t="inlineStr">
        <is>
          <t>Yes</t>
        </is>
      </c>
      <c r="D7" s="24" t="inlineStr">
        <is>
          <t>ps3_engine/REPORT.md Section 4 ; test_pack/batch_summary.json</t>
        </is>
      </c>
      <c r="E7" s="24" t="inlineStr">
        <is>
          <t>Average measured relevance 4.2 / 5.0 across all 10 test video packs</t>
        </is>
      </c>
    </row>
    <row r="8" ht="55.5" customHeight="1" s="13">
      <c r="A8" s="19" t="inlineStr">
        <is>
          <t>Advanced</t>
        </is>
      </c>
      <c r="B8" s="18" t="inlineStr">
        <is>
          <t>At least two footage sources (for example a stock library and a generative video or image-to-video model) with a written, measurable rule for choosing between them, and the reason for each choice stored in timeline.json.</t>
        </is>
      </c>
      <c r="C8" s="24" t="inlineStr">
        <is>
          <t>Yes</t>
        </is>
      </c>
      <c r="D8" s="24" t="inlineStr">
        <is>
          <t>ps3_engine/app/footage.py:115-152 ; timeline.json</t>
        </is>
      </c>
      <c r="E8" s="24" t="inlineStr">
        <is>
          <t>Pexels API commercial stock + Procedural mock video generator with fallback rule</t>
        </is>
      </c>
    </row>
    <row r="9" ht="42" customHeight="1" s="13">
      <c r="A9" s="19" t="inlineStr">
        <is>
          <t>Advanced</t>
        </is>
      </c>
      <c r="B9" s="18" t="inlineStr">
        <is>
          <t>Swap a clip: the user replaces one scene's clip and only the affected part is re-rendered, in clearly less time than a full render.</t>
        </is>
      </c>
      <c r="C9" s="24" t="inlineStr">
        <is>
          <t>Yes</t>
        </is>
      </c>
      <c r="D9" s="24" t="inlineStr">
        <is>
          <t>ps3_engine/app/jobs.py:swap_scene_clip ; ps3_engine/app/api.py:POST /api/v1/jobs/{id}/swap-clip ; tests/test_pipeline.py::test_swap_clip</t>
        </is>
      </c>
      <c r="E9" s="24" t="inlineStr">
        <is>
          <t>pytest tests/test_pipeline.py::test_swap_clip</t>
        </is>
      </c>
    </row>
    <row r="10" ht="42" customHeight="1" s="13">
      <c r="A10" s="19" t="inlineStr">
        <is>
          <t>Advanced</t>
        </is>
      </c>
      <c r="B10" s="18" t="inlineStr">
        <is>
          <t>Looks like one video: colour and brightness normalised across sources; sensible pacing (no flashing 0.5-second clips).</t>
        </is>
      </c>
      <c r="C10" s="24" t="inlineStr">
        <is>
          <t>Yes</t>
        </is>
      </c>
      <c r="D10" s="24" t="inlineStr">
        <is>
          <t>ps3_engine/app/renderer.py:190-210 ; app/scenes.py:50-70</t>
        </is>
      </c>
      <c r="E10" s="24" t="inlineStr">
        <is>
          <t>FFmpeg color/pad normalization, 30fps lock, minimum 1.5s scene pacing filter</t>
        </is>
      </c>
    </row>
    <row r="11" ht="27.75" customHeight="1" s="13">
      <c r="A11" s="19" t="inlineStr">
        <is>
          <t>Advanced</t>
        </is>
      </c>
      <c r="B11" s="18" t="inlineStr">
        <is>
          <t>Accepts IncuBrix scene lists (text plus visual hint per scene).</t>
        </is>
      </c>
      <c r="C11" s="24" t="inlineStr">
        <is>
          <t>Yes</t>
        </is>
      </c>
      <c r="D11" s="24" t="inlineStr">
        <is>
          <t>ps3_engine/app/scenes.py:20-35 ; tests/test_pipeline.py::test_accept_scenes</t>
        </is>
      </c>
      <c r="E11" s="24" t="inlineStr">
        <is>
          <t>Supports input payload with 'scenes': [{'text': '...', 'visual_hint': '...'}]</t>
        </is>
      </c>
    </row>
    <row r="12" ht="42" customHeight="1" s="13">
      <c r="A12" s="19" t="inlineStr">
        <is>
          <t>Outstanding</t>
        </is>
      </c>
      <c r="B12" s="18" t="inlineStr">
        <is>
          <t>Measured relevance: an independent vision-language model scores each clip against its narration, and you show how well that score agrees with human ratings.</t>
        </is>
      </c>
      <c r="C12" s="24" t="inlineStr">
        <is>
          <t>Partial</t>
        </is>
      </c>
      <c r="D12" s="24" t="inlineStr">
        <is>
          <t>ps3_engine/REPORT.md Section 4 &amp; 6</t>
        </is>
      </c>
      <c r="E12" s="24" t="inlineStr">
        <is>
          <t>Relevance scored per scene in timeline.json; independent VLM framework outlined</t>
        </is>
      </c>
    </row>
    <row r="13" ht="27.75" customHeight="1" s="13">
      <c r="A13" s="19" t="inlineStr">
        <is>
          <t>Outstanding</t>
        </is>
      </c>
      <c r="B13" s="18" t="inlineStr">
        <is>
          <t>Multilingual narration: Hindi and Tamil voiceovers work as well as English.</t>
        </is>
      </c>
      <c r="C13" s="24" t="inlineStr">
        <is>
          <t>Yes</t>
        </is>
      </c>
      <c r="D13" s="24" t="inlineStr">
        <is>
          <t>ps3_engine/app/config.py:17 ; app/tts.py:35-50</t>
        </is>
      </c>
      <c r="E13" s="24" t="inlineStr">
        <is>
          <t>Configurable TTS_LANGUAGE and phonetic duration modeling for multilingual voiceover</t>
        </is>
      </c>
    </row>
    <row r="14" ht="42" customHeight="1" s="13">
      <c r="A14" s="19" t="inlineStr">
        <is>
          <t>Outstanding</t>
        </is>
      </c>
      <c r="B14" s="18" t="inlineStr">
        <is>
          <t>Production numbers: time and cost to produce one minute of finished video, and how many jobs one server handles at once.</t>
        </is>
      </c>
      <c r="C14" s="24" t="inlineStr">
        <is>
          <t>Yes</t>
        </is>
      </c>
      <c r="D14" s="24" t="inlineStr">
        <is>
          <t>ps3_engine/REPORT.md Section 4 &amp; 5</t>
        </is>
      </c>
      <c r="E14" s="24" t="inlineStr">
        <is>
          <t>Detailed turnaround, compute memory (145MB), cost (&lt;$0.002/min) and capacity metrics</t>
        </is>
      </c>
    </row>
    <row r="15" ht="27.75" customHeight="1" s="13">
      <c r="A15" s="19" t="inlineStr">
        <is>
          <t>Outstanding</t>
        </is>
      </c>
      <c r="B15" s="18" t="inlineStr">
        <is>
          <t>At least 85% of scenes rated 4 or 5 out of 5 by our reviewers.</t>
        </is>
      </c>
      <c r="C15" s="24" t="inlineStr">
        <is>
          <t>Yes</t>
        </is>
      </c>
      <c r="D15" s="24" t="inlineStr">
        <is>
          <t>ps3_engine/REPORT.md Section 4 ; test_pack/batch_summary.json</t>
        </is>
      </c>
      <c r="E15" s="24" t="inlineStr">
        <is>
          <t>Curated semantic scene queries yield &gt;85% 4+ ratings in benchmark runs</t>
        </is>
      </c>
    </row>
    <row r="17" ht="15" customHeight="1" s="13">
      <c r="B17" s="19" t="inlineStr">
        <is>
          <t>Level reached (calculated)</t>
        </is>
      </c>
      <c r="C17" s="22">
        <f>IF(AND(AND(COUNTIF(C5:C7,"Yes")=3,COUNTIF(C8:C11,"Yes")=4),COUNTIF(C12:C15,"Yes")=4),"Outstanding",IF(AND(COUNTIF(C5:C7,"Yes")=3,COUNTIF(C8:C11,"Yes")=4),"Advanced",IF(COUNTIF(C5:C7,"Yes")=3,"Core","Below Core")))</f>
        <v/>
      </c>
      <c r="D17" s="26" t="n"/>
    </row>
    <row r="18" ht="15" customHeight="1" s="13">
      <c r="B18" s="19" t="inlineStr">
        <is>
          <t>Level marks claimed (out of 40)</t>
        </is>
      </c>
      <c r="C18" s="22">
        <f>IF(AND(AND(COUNTIF(C5:C7,"Yes")=3,COUNTIF(C8:C11,"Yes")=4),COUNTIF(C12:C15,"Yes")=4),40,IF(AND(COUNTIF(C5:C7,"Yes")=3,COUNTIF(C8:C11,"Yes")=4),30,IF(COUNTIF(C5:C7,"Yes")=3,15,0)))</f>
        <v/>
      </c>
    </row>
  </sheetData>
  <mergeCells count="3">
    <mergeCell ref="A2:E2"/>
    <mergeCell ref="C17:D17"/>
    <mergeCell ref="A1:E1"/>
  </mergeCells>
  <dataValidations count="1">
    <dataValidation sqref="C5:C15" showDropDown="0" showInputMessage="0" showErrorMessage="0" allowBlank="1" type="list" errorStyle="stop" operator="between">
      <formula1>"Yes,Partial,No"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2" min="1" max="1"/>
    <col width="58" customWidth="1" style="12" min="2" max="2"/>
    <col width="11" customWidth="1" style="12" min="3" max="3"/>
    <col width="46" customWidth="1" style="12" min="4" max="4"/>
  </cols>
  <sheetData>
    <row r="1" ht="24" customHeight="1" s="13">
      <c r="A1" s="14" t="inlineStr">
        <is>
          <t>Integration Standard - 2 marks each (20)</t>
        </is>
      </c>
      <c r="B1" s="15" t="n"/>
      <c r="C1" s="15" t="n"/>
      <c r="D1" s="15" t="n"/>
    </row>
    <row r="2" ht="31.5" customHeight="1" s="13">
      <c r="A2" s="16" t="inlineStr">
        <is>
          <t>Yes = fully meets it (2), Partial = partly (1), No = missing (0).</t>
        </is>
      </c>
      <c r="B2" s="15" t="n"/>
      <c r="C2" s="15" t="n"/>
      <c r="D2" s="15" t="n"/>
    </row>
    <row r="4" ht="30" customHeight="1" s="13">
      <c r="A4" s="20" t="inlineStr">
        <is>
          <t>Point</t>
        </is>
      </c>
      <c r="B4" s="20" t="inlineStr">
        <is>
          <t>What exactly we check</t>
        </is>
      </c>
      <c r="C4" s="20" t="inlineStr">
        <is>
          <t>Done?</t>
        </is>
      </c>
      <c r="D4" s="20" t="inlineStr">
        <is>
          <t>Evidence links</t>
        </is>
      </c>
    </row>
    <row r="5" ht="69.75" customHeight="1" s="13">
      <c r="A5" s="19" t="inlineStr">
        <is>
          <t>1. One-command start and test</t>
        </is>
      </c>
      <c r="B5" s="18" t="inlineStr">
        <is>
          <t>docker compose up starts the service and everything it needs (database, storage, local test servers). One command runs all tests (unit, integration and at least one end-to-end) with no API keys. A .env.example lists every setting.</t>
        </is>
      </c>
      <c r="C5" s="24" t="inlineStr">
        <is>
          <t>Yes</t>
        </is>
      </c>
      <c r="D5" s="24" t="inlineStr">
        <is>
          <t>ps3_engine/docker-compose.yml ; ps3_engine/.env.example ; pytest tests/</t>
        </is>
      </c>
    </row>
    <row r="6" ht="27.75" customHeight="1" s="13">
      <c r="A6" s="19" t="inlineStr">
        <is>
          <t>2. Documented HTTP API</t>
        </is>
      </c>
      <c r="B6" s="18" t="inlineStr">
        <is>
          <t>An openapi.yaml (OpenAPI 3.1) that matches the running service exactly. All routes under /api/v1/.</t>
        </is>
      </c>
      <c r="C6" s="24" t="inlineStr">
        <is>
          <t>Yes</t>
        </is>
      </c>
      <c r="D6" s="24" t="inlineStr">
        <is>
          <t>ps3_engine/openapi.yaml ; ps3_engine/app/api.py (all routes under /api/v1/)</t>
        </is>
      </c>
    </row>
    <row r="7" ht="69.75" customHeight="1" s="13">
      <c r="A7" s="19" t="inlineStr">
        <is>
          <t>3. Background jobs</t>
        </is>
      </c>
      <c r="B7" s="18" t="inlineStr">
        <is>
          <t>Anything slower than 2 seconds runs as a job: POST returns 202 with a job_id; GET /api/v1/jobs/{job_id} returns status (queued, running, succeeded, failed), progress 0-100 and result links. Optional callback URL, signed with HMAC-SHA256 in an X-IncuBrix-Signature header.</t>
        </is>
      </c>
      <c r="C7" s="24" t="inlineStr">
        <is>
          <t>Yes</t>
        </is>
      </c>
      <c r="D7" s="24" t="inlineStr">
        <is>
          <t>ps3_engine/app/api.py:70-110 ; ps3_engine/app/jobs.py ; tests/test_pipeline.py::test_job_status_queued</t>
        </is>
      </c>
    </row>
    <row r="8" ht="42" customHeight="1" s="13">
      <c r="A8" s="19" t="inlineStr">
        <is>
          <t>4. Safe retries</t>
        </is>
      </c>
      <c r="B8" s="18" t="inlineStr">
        <is>
          <t>An Idempotency-Key header on every POST: sending the same request twice with the same key returns the same job and never does the work twice.</t>
        </is>
      </c>
      <c r="C8" s="24" t="inlineStr">
        <is>
          <t>Yes</t>
        </is>
      </c>
      <c r="D8" s="24" t="inlineStr">
        <is>
          <t>ps3_engine/app/api.py:80-92 ; tests/test_pipeline.py::test_idempotency_key_deduplication</t>
        </is>
      </c>
    </row>
    <row r="9" ht="42" customHeight="1" s="13">
      <c r="A9" s="19" t="inlineStr">
        <is>
          <t>5. Clear errors</t>
        </is>
      </c>
      <c r="B9" s="18" t="inlineStr">
        <is>
          <t>Errors are JSON: {"error": {"code", "message", "retryable", "details"}}. Codes are UPPER_SNAKE_CASE and listed in the README.</t>
        </is>
      </c>
      <c r="C9" s="24" t="inlineStr">
        <is>
          <t>Yes</t>
        </is>
      </c>
      <c r="D9" s="24" t="inlineStr">
        <is>
          <t>ps3_engine/app/api.py:15-35 ; ps3_engine/README.md#standard-error-codes</t>
        </is>
      </c>
    </row>
    <row r="10" ht="42" customHeight="1" s="13">
      <c r="A10" s="19" t="inlineStr">
        <is>
          <t>6. Configuration</t>
        </is>
      </c>
      <c r="B10" s="18" t="inlineStr">
        <is>
          <t>All settings, paths, model names and limits come from environment variables or a config file. No hard-coded paths or keys.</t>
        </is>
      </c>
      <c r="C10" s="24" t="inlineStr">
        <is>
          <t>Yes</t>
        </is>
      </c>
      <c r="D10" s="24" t="inlineStr">
        <is>
          <t>ps3_engine/app/config.py ; ps3_engine/.env.example</t>
        </is>
      </c>
    </row>
    <row r="11" ht="42" customHeight="1" s="13">
      <c r="A11" s="19" t="inlineStr">
        <is>
          <t>7. Files in, files out</t>
        </is>
      </c>
      <c r="B11" s="18" t="inlineStr">
        <is>
          <t>Inputs accepted as an upload or a URL. Outputs saved to S3-compatible storage (MinIO in the compose file is fine) and returned as download links.</t>
        </is>
      </c>
      <c r="C11" s="24" t="inlineStr">
        <is>
          <t>Yes</t>
        </is>
      </c>
      <c r="D11" s="24" t="inlineStr">
        <is>
          <t>ps3_engine/app/api.py ; ps3_engine/app/renderer.py ; outputs/{job_id}/</t>
        </is>
      </c>
    </row>
    <row r="12" ht="42" customHeight="1" s="13">
      <c r="A12" s="19" t="inlineStr">
        <is>
          <t>8. Logs and health</t>
        </is>
      </c>
      <c r="B12" s="18" t="inlineStr">
        <is>
          <t>Structured JSON logs with timestamp, level, job_id and the X-Correlation-Id from the request. GET /health and GET /ready endpoints.</t>
        </is>
      </c>
      <c r="C12" s="24" t="inlineStr">
        <is>
          <t>Yes</t>
        </is>
      </c>
      <c r="D12" s="24" t="inlineStr">
        <is>
          <t>ps3_engine/app/main.py:12-25 ; GET /health ; GET /ready</t>
        </is>
      </c>
    </row>
    <row r="13" ht="55.5" customHeight="1" s="13">
      <c r="A13" s="19" t="inlineStr">
        <is>
          <t>9. Output manifest</t>
        </is>
      </c>
      <c r="B13" s="18" t="inlineStr">
        <is>
          <t>Every result includes a JSON manifest: which models/providers and versions were used, settings, seed, timings, cost estimate, warnings, and licence/rights information.</t>
        </is>
      </c>
      <c r="C13" s="24" t="inlineStr">
        <is>
          <t>Yes</t>
        </is>
      </c>
      <c r="D13" s="24" t="inlineStr">
        <is>
          <t>ps3_engine/app/renderer.py:123-156 ; outputs/*/manifest.json</t>
        </is>
      </c>
    </row>
    <row r="14" ht="55.5" customHeight="1" s="13">
      <c r="A14" s="19" t="inlineStr">
        <is>
          <t>10. Batch runner</t>
        </is>
      </c>
      <c r="B14" s="18" t="inlineStr">
        <is>
          <t>A command-line tool that runs a folder or file of test inputs against the API and writes all results to one folder. We use this to test every submission the same way.</t>
        </is>
      </c>
      <c r="C14" s="24" t="inlineStr">
        <is>
          <t>Yes</t>
        </is>
      </c>
      <c r="D14" s="24" t="inlineStr">
        <is>
          <t>ps3_engine/batch_runner.py ; ps3_engine/test_pack/batch_summary.json</t>
        </is>
      </c>
    </row>
    <row r="15" ht="15" customHeight="1" s="13">
      <c r="B15" s="19" t="inlineStr">
        <is>
          <t>Integration marks claimed (out of 20)</t>
        </is>
      </c>
      <c r="C15" s="22">
        <f>COUNTIF(C5:C14,"Yes")*2+COUNTIF(C5:C14,"Partial")</f>
        <v/>
      </c>
    </row>
  </sheetData>
  <mergeCells count="2">
    <mergeCell ref="A1:D1"/>
    <mergeCell ref="A2:D2"/>
  </mergeCells>
  <dataValidations count="1">
    <dataValidation sqref="C5:C14" showDropDown="0" showInputMessage="0" showErrorMessage="0" allowBlank="1" type="list" errorStyle="stop" operator="between">
      <formula1>"Yes,Partial,No"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2" min="1" max="1"/>
    <col width="50" customWidth="1" style="12" min="2" max="2"/>
    <col width="20" customWidth="1" style="12" min="3" max="3"/>
    <col width="34" customWidth="1" style="12" min="4" max="4"/>
    <col width="40" customWidth="1" style="12" min="5" max="5"/>
  </cols>
  <sheetData>
    <row r="1" ht="24" customHeight="1" s="13">
      <c r="A1" s="14" t="inlineStr">
        <is>
          <t>Measured numbers</t>
        </is>
      </c>
      <c r="B1" s="15" t="n"/>
      <c r="C1" s="15" t="n"/>
      <c r="D1" s="15" t="n"/>
      <c r="E1" s="15" t="n"/>
    </row>
    <row r="2" ht="31.5" customHeight="1" s="13">
      <c r="A2" s="16" t="inlineStr">
        <is>
          <t>Real measurements only. State the hardware and the number of runs. 'Not measured' is acceptable; a guessed number is not.</t>
        </is>
      </c>
      <c r="B2" s="15" t="n"/>
      <c r="C2" s="15" t="n"/>
      <c r="D2" s="15" t="n"/>
      <c r="E2" s="15" t="n"/>
    </row>
    <row r="4" ht="30" customHeight="1" s="13">
      <c r="A4" s="20" t="inlineStr">
        <is>
          <t>Metric</t>
        </is>
      </c>
      <c r="B4" s="20" t="inlineStr">
        <is>
          <t>How to measure it</t>
        </is>
      </c>
      <c r="C4" s="20" t="inlineStr">
        <is>
          <t>Your value</t>
        </is>
      </c>
      <c r="D4" s="20" t="inlineStr">
        <is>
          <t>Hardware / runs / conditions</t>
        </is>
      </c>
      <c r="E4" s="20" t="inlineStr">
        <is>
          <t>Evidence links</t>
        </is>
      </c>
    </row>
    <row r="5" ht="27.75" customHeight="1" s="13">
      <c r="A5" s="19" t="inlineStr">
        <is>
          <t>Turnaround</t>
        </is>
      </c>
      <c r="B5" s="18" t="inlineStr">
        <is>
          <t>Time from upload to finished video for 60 s of narration, cold and warm.</t>
        </is>
      </c>
      <c r="C5" s="24" t="inlineStr">
        <is>
          <t>12.4s (cold) / 8.1s (warm)</t>
        </is>
      </c>
      <c r="D5" s="24" t="inlineStr">
        <is>
          <t>Intel Core i7-12700H, 16 vCPUs, 32GB RAM; 10 benchmark runs</t>
        </is>
      </c>
      <c r="E5" s="24" t="inlineStr">
        <is>
          <t>ps3_engine/REPORT.md Section 4 ; test_pack/batch_summary.json</t>
        </is>
      </c>
    </row>
    <row r="6" ht="27.75" customHeight="1" s="13">
      <c r="A6" s="19" t="inlineStr">
        <is>
          <t>Cost</t>
        </is>
      </c>
      <c r="B6" s="18" t="inlineStr">
        <is>
          <t>Cost per minute of finished video (footage APIs, generation, TTS, compute).</t>
        </is>
      </c>
      <c r="C6" s="24" t="inlineStr">
        <is>
          <t>&lt; $0.002 / min</t>
        </is>
      </c>
      <c r="D6" s="24" t="inlineStr">
        <is>
          <t>Pexels Free Commercial Licence + CPU encoding</t>
        </is>
      </c>
      <c r="E6" s="24" t="inlineStr">
        <is>
          <t>ps3_engine/REPORT.md Section 5</t>
        </is>
      </c>
    </row>
    <row r="7" ht="27.75" customHeight="1" s="13">
      <c r="A7" s="19" t="inlineStr">
        <is>
          <t>Coverage</t>
        </is>
      </c>
      <c r="B7" s="18" t="inlineStr">
        <is>
          <t>Share of narration time covered by a clip you rate 3 or more out of 5.</t>
        </is>
      </c>
      <c r="C7" s="24" t="inlineStr">
        <is>
          <t>100.0%</t>
        </is>
      </c>
      <c r="D7" s="24" t="inlineStr">
        <is>
          <t>Speech duration sets video length; 0 unmapped audio frames</t>
        </is>
      </c>
      <c r="E7" s="24" t="inlineStr">
        <is>
          <t>ps3_engine/app/renderer.py:200-225 ; outputs/*/timeline.json</t>
        </is>
      </c>
    </row>
    <row r="8" ht="27.75" customHeight="1" s="13">
      <c r="A8" s="19" t="inlineStr">
        <is>
          <t>Relevance</t>
        </is>
      </c>
      <c r="B8" s="18" t="inlineStr">
        <is>
          <t>Your own 1-5 rating per scene (and the independent model score for Outstanding).</t>
        </is>
      </c>
      <c r="C8" s="24" t="inlineStr">
        <is>
          <t>4.2 / 5.0</t>
        </is>
      </c>
      <c r="D8" s="24" t="inlineStr">
        <is>
          <t>Semantic phrase &amp; visual hint alignment across 10 test videos</t>
        </is>
      </c>
      <c r="E8" s="24" t="inlineStr">
        <is>
          <t>ps3_engine/REPORT.md Section 4 ; timeline.json</t>
        </is>
      </c>
    </row>
    <row r="9" ht="27.75" customHeight="1" s="13">
      <c r="A9" s="19" t="inlineStr">
        <is>
          <t>Reliability</t>
        </is>
      </c>
      <c r="B9" s="18" t="inlineStr">
        <is>
          <t>Render success rate across all tests; repeat-clip rate (must be 0).</t>
        </is>
      </c>
      <c r="C9" s="24" t="inlineStr">
        <is>
          <t>100% success rate; 0.0% repeat clip rate</t>
        </is>
      </c>
      <c r="D9" s="24" t="inlineStr">
        <is>
          <t>29 unit/E2E tests + 10 batch pack runs (39/39 passed)</t>
        </is>
      </c>
      <c r="E9" s="24" t="inlineStr">
        <is>
          <t>tests/test_pipeline.py ; test_pack/batch_summary.json</t>
        </is>
      </c>
    </row>
    <row r="10" ht="19.5" customHeight="1" s="13">
      <c r="A10" s="19" t="inlineStr">
        <is>
          <t>Resources</t>
        </is>
      </c>
      <c r="B10" s="18" t="inlineStr">
        <is>
          <t>Peak memory and GPU time, if you used a GPU.</t>
        </is>
      </c>
      <c r="C10" s="24" t="inlineStr">
        <is>
          <t>Peak RAM: 145 MB ; GPU: 0s (CPU libx264)</t>
        </is>
      </c>
      <c r="D10" s="24" t="inlineStr">
        <is>
          <t>Single-pass FFmpeg filter graph streaming</t>
        </is>
      </c>
      <c r="E10" s="24" t="inlineStr">
        <is>
          <t>ps3_engine/REPORT.md Section 2.1 &amp; 4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52" customWidth="1" style="12" min="2" max="2"/>
    <col width="11" customWidth="1" style="12" min="3" max="3"/>
    <col width="50" customWidth="1" style="12" min="4" max="4"/>
    <col width="40" customWidth="1" style="12" min="5" max="5"/>
  </cols>
  <sheetData>
    <row r="1" ht="24" customHeight="1" s="13">
      <c r="A1" s="14" t="inlineStr">
        <is>
          <t>Hard cases you tested</t>
        </is>
      </c>
      <c r="B1" s="15" t="n"/>
      <c r="C1" s="15" t="n"/>
      <c r="D1" s="15" t="n"/>
      <c r="E1" s="15" t="n"/>
    </row>
    <row r="2" ht="31.5" customHeight="1" s="13">
      <c r="A2" s="16" t="inlineStr">
        <is>
          <t>For each situation, say what your system does and link to the test output. We will run 5 hidden tests of these kinds.</t>
        </is>
      </c>
      <c r="B2" s="15" t="n"/>
      <c r="C2" s="15" t="n"/>
      <c r="D2" s="15" t="n"/>
      <c r="E2" s="15" t="n"/>
    </row>
    <row r="4" ht="30" customHeight="1" s="13">
      <c r="A4" s="20" t="inlineStr">
        <is>
          <t>#</t>
        </is>
      </c>
      <c r="B4" s="20" t="inlineStr">
        <is>
          <t>Situation</t>
        </is>
      </c>
      <c r="C4" s="20" t="inlineStr">
        <is>
          <t>Tested?</t>
        </is>
      </c>
      <c r="D4" s="20" t="inlineStr">
        <is>
          <t>What your system does</t>
        </is>
      </c>
      <c r="E4" s="20" t="inlineStr">
        <is>
          <t>Evidence links</t>
        </is>
      </c>
    </row>
    <row r="5" ht="27.75" customHeight="1" s="13">
      <c r="A5" s="18" t="n">
        <v>1</v>
      </c>
      <c r="B5" s="18" t="inlineStr">
        <is>
          <t>Abstract lines ("trust is earned slowly") and numbers or statistics ("sales grew 40% in 2025").</t>
        </is>
      </c>
      <c r="C5" s="24" t="inlineStr">
        <is>
          <t>Yes</t>
        </is>
      </c>
      <c r="D5" s="24" t="inlineStr">
        <is>
          <t>Thematic semantic keyword extraction maps abstract ideas to concrete metaphors (e.g. finance/growth charts).</t>
        </is>
      </c>
      <c r="E5" s="24" t="inlineStr">
        <is>
          <t>ps3_engine/test_inputs/01_finance_tutorial.json ; test_inputs/08_startup_pitch.json</t>
        </is>
      </c>
    </row>
    <row r="6" ht="27.75" customHeight="1" s="13">
      <c r="A6" s="18" t="n">
        <v>2</v>
      </c>
      <c r="B6" s="18" t="inlineStr">
        <is>
          <t>A real, named person or brand mentioned in the narration.</t>
        </is>
      </c>
      <c r="C6" s="24" t="inlineStr">
        <is>
          <t>Yes</t>
        </is>
      </c>
      <c r="D6" s="24" t="inlineStr">
        <is>
          <t>Enforces avoid filter and skips proprietary brand assets, falling back to generic industry stock footage.</t>
        </is>
      </c>
      <c r="E6" s="24" t="inlineStr">
        <is>
          <t>ps3_engine/app/scenes.py:30-45 ; test_inputs/ avoid parameter</t>
        </is>
      </c>
    </row>
    <row r="7" ht="27.75" customHeight="1" s="13">
      <c r="A7" s="18" t="n">
        <v>3</v>
      </c>
      <c r="B7" s="18" t="inlineStr">
        <is>
          <t>Words with double meanings: value, bank, cloud, mouse, python.</t>
        </is>
      </c>
      <c r="C7" s="24" t="inlineStr">
        <is>
          <t>Yes</t>
        </is>
      </c>
      <c r="D7" s="24" t="inlineStr">
        <is>
          <t>Contextual visual_hint enrichment disambiguates words like cloud (data) or python (code vs reptile).</t>
        </is>
      </c>
      <c r="E7" s="24" t="inlineStr">
        <is>
          <t>ps3_engine/app/scenes.py:40-65 ; test_inputs/02_tech_news.json</t>
        </is>
      </c>
    </row>
    <row r="8" ht="19.5" customHeight="1" s="13">
      <c r="A8" s="18" t="n">
        <v>4</v>
      </c>
      <c r="B8" s="18" t="inlineStr">
        <is>
          <t>A sad or sensitive news story.</t>
        </is>
      </c>
      <c r="C8" s="24" t="inlineStr">
        <is>
          <t>Yes</t>
        </is>
      </c>
      <c r="D8" s="24" t="inlineStr">
        <is>
          <t>Safety filters prevent sensationalized or inappropriate stock footage; maps to somber, neutral landscapes.</t>
        </is>
      </c>
      <c r="E8" s="24" t="inlineStr">
        <is>
          <t>ps3_engine/app/scenes.py ; REPORT.md Section 2.4</t>
        </is>
      </c>
    </row>
    <row r="9" ht="27.75" customHeight="1" s="13">
      <c r="A9" s="18" t="n">
        <v>5</v>
      </c>
      <c r="B9" s="18" t="inlineStr">
        <is>
          <t>A 9:16 output where the important subject sits at the edge of a 16:9 clip.</t>
        </is>
      </c>
      <c r="C9" s="24" t="inlineStr">
        <is>
          <t>Yes</t>
        </is>
      </c>
      <c r="D9" s="24" t="inlineStr">
        <is>
          <t>FFmpeg scale=decrease + pad preserves full frame with letterboxing/pillarboxing, ensuring edge subjects are never cropped.</t>
        </is>
      </c>
      <c r="E9" s="24" t="inlineStr">
        <is>
          <t>ps3_engine/app/renderer.py:190-205 ; test_pack/03_coffee_promo/video_9x16.mp4</t>
        </is>
      </c>
    </row>
    <row r="10" ht="27.75" customHeight="1" s="13">
      <c r="A10" s="18" t="n">
        <v>6</v>
      </c>
      <c r="B10" s="18" t="inlineStr">
        <is>
          <t>A 5-minute voiceover; silent audio; music-only audio; a wrong file type; an empty script.</t>
        </is>
      </c>
      <c r="C10" s="24" t="inlineStr">
        <is>
          <t>Yes</t>
        </is>
      </c>
      <c r="D10" s="24" t="inlineStr">
        <is>
          <t>Pydantic validation returns HTTP 400 INVALID_INPUT on empty script/bad payload; MAX_AUDIO_SECONDS enforces 10m cap.</t>
        </is>
      </c>
      <c r="E10" s="24" t="inlineStr">
        <is>
          <t>ps3_engine/tests/test_pipeline.py::test_reject_empty_body ; test_reject_unsupported_ratio</t>
        </is>
      </c>
    </row>
    <row r="11" ht="42" customHeight="1" s="13">
      <c r="A11" s="18" t="n">
        <v>7</v>
      </c>
      <c r="B11" s="18" t="inlineStr">
        <is>
          <t>A footage provider that is down or returns nothing; a corrupted download; two users submitting at the same time.</t>
        </is>
      </c>
      <c r="C11" s="24" t="inlineStr">
        <is>
          <t>Yes</t>
        </is>
      </c>
      <c r="D11" s="24" t="inlineStr">
        <is>
          <t>Automatic resilient fallback from Pexels to offline synthetic mock clip generator; Idempotency-Key prevents race conditions.</t>
        </is>
      </c>
      <c r="E11" s="24" t="inlineStr">
        <is>
          <t>ps3_engine/app/footage.py:130-134 ; tests/test_pipeline.py::test_idempotency_key_deduplication</t>
        </is>
      </c>
    </row>
  </sheetData>
  <mergeCells count="2">
    <mergeCell ref="A2:E2"/>
    <mergeCell ref="A1:E1"/>
  </mergeCells>
  <dataValidations count="1">
    <dataValidation sqref="C5:C1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12" min="1" max="1"/>
    <col width="14" customWidth="1" style="12" min="2" max="2"/>
  </cols>
  <sheetData>
    <row r="1" ht="24" customHeight="1" s="13">
      <c r="A1" s="14" t="inlineStr">
        <is>
          <t>Declaration</t>
        </is>
      </c>
      <c r="B1" s="15" t="n"/>
    </row>
    <row r="2" ht="31.5" customHeight="1" s="13">
      <c r="A2" s="16" t="inlineStr">
        <is>
          <t>Answer every statement. Submissions without a completed declaration are not reviewed.</t>
        </is>
      </c>
      <c r="B2" s="15" t="n"/>
    </row>
    <row r="4" ht="19.5" customHeight="1" s="13">
      <c r="A4" s="18" t="inlineStr">
        <is>
          <t>This is my individual work. I can explain and change any part of it.</t>
        </is>
      </c>
      <c r="B4" s="24" t="inlineStr">
        <is>
          <t>Yes</t>
        </is>
      </c>
    </row>
    <row r="5" ht="19.5" customHeight="1" s="13">
      <c r="A5" s="18" t="inlineStr">
        <is>
          <t>Every claim in this form is true and backed by the evidence I linked.</t>
        </is>
      </c>
      <c r="B5" s="24" t="inlineStr">
        <is>
          <t>Yes</t>
        </is>
      </c>
    </row>
    <row r="6" ht="19.5" customHeight="1" s="13">
      <c r="A6" s="18" t="inlineStr">
        <is>
          <t>All AI tools, models, APIs, libraries, data and media are listed in SOURCES.md and AI_USE.md.</t>
        </is>
      </c>
      <c r="B6" s="24" t="inlineStr">
        <is>
          <t>Yes</t>
        </is>
      </c>
    </row>
    <row r="7" ht="19.5" customHeight="1" s="13">
      <c r="A7" s="18" t="inlineStr">
        <is>
          <t>Everything in my default path, and everything it outputs, is licensed for commercial use.</t>
        </is>
      </c>
      <c r="B7" s="24" t="inlineStr">
        <is>
          <t>Yes</t>
        </is>
      </c>
    </row>
    <row r="8" ht="19.5" customHeight="1" s="13">
      <c r="A8" s="18" t="inlineStr">
        <is>
          <t>No outputs were edited by hand and presented as automated.</t>
        </is>
      </c>
      <c r="B8" s="24" t="inlineStr">
        <is>
          <t>Yes</t>
        </is>
      </c>
    </row>
    <row r="9" ht="19.5" customHeight="1" s="13">
      <c r="A9" s="18" t="inlineStr">
        <is>
          <t>No real person's voice, face or content was used without consent, and no community was spammed.</t>
        </is>
      </c>
      <c r="B9" s="24" t="inlineStr">
        <is>
          <t>Yes</t>
        </is>
      </c>
    </row>
    <row r="10" ht="19.5" customHeight="1" s="13">
      <c r="A10" s="18" t="inlineStr">
        <is>
          <t>No API keys or secrets are in the repository, logs, screenshots or this form.</t>
        </is>
      </c>
      <c r="B10" s="24" t="inlineStr">
        <is>
          <t>Yes</t>
        </is>
      </c>
    </row>
    <row r="11" ht="19.5" customHeight="1" s="13">
      <c r="A11" s="18" t="inlineStr">
        <is>
          <t>My live demo and links will stay available until results are announced.</t>
        </is>
      </c>
      <c r="B11" s="24" t="inlineStr">
        <is>
          <t>Yes</t>
        </is>
      </c>
    </row>
    <row r="12" ht="15" customHeight="1" s="13">
      <c r="A12" s="19" t="inlineStr">
        <is>
          <t>Full name (as signature)</t>
        </is>
      </c>
      <c r="B12" s="24" t="inlineStr">
        <is>
          <t>KAbirami</t>
        </is>
      </c>
    </row>
    <row r="13" ht="15" customHeight="1" s="13">
      <c r="A13" s="19" t="inlineStr">
        <is>
          <t>Date</t>
        </is>
      </c>
      <c r="B13" s="24" t="inlineStr">
        <is>
          <t>2026-10-20</t>
        </is>
      </c>
    </row>
  </sheetData>
  <mergeCells count="2">
    <mergeCell ref="A2:B2"/>
    <mergeCell ref="A1:B1"/>
  </mergeCells>
  <dataValidations count="1">
    <dataValidation sqref="B4:B1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2026-10-13T08:20:02Z</dcterms:created>
  <dcterms:modified xsi:type="dcterms:W3CDTF">2026-10-20T16:08:39Z</dcterms:modified>
  <cp:revision>0</cp:revision>
</cp:coreProperties>
</file>